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\5CHIT\"/>
    </mc:Choice>
  </mc:AlternateContent>
  <xr:revisionPtr revIDLastSave="0" documentId="13_ncr:1_{BE6FCB70-DB50-4F71-B390-00B6B6261FA1}" xr6:coauthVersionLast="47" xr6:coauthVersionMax="47" xr10:uidLastSave="{00000000-0000-0000-0000-000000000000}"/>
  <bookViews>
    <workbookView xWindow="-110" yWindow="-110" windowWidth="19420" windowHeight="10420" xr2:uid="{0F2427C3-1637-414F-BF49-B7A9108E3AC4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1" l="1"/>
  <c r="G63" i="1"/>
  <c r="B63" i="1"/>
  <c r="C64" i="1"/>
  <c r="E65" i="1"/>
  <c r="D65" i="1"/>
  <c r="C65" i="1"/>
  <c r="B65" i="1"/>
  <c r="D62" i="1"/>
  <c r="F62" i="1"/>
  <c r="D63" i="1"/>
  <c r="C63" i="1"/>
  <c r="C69" i="1"/>
  <c r="F69" i="1"/>
  <c r="F63" i="1"/>
  <c r="C71" i="1"/>
  <c r="D71" i="1"/>
  <c r="F71" i="1"/>
  <c r="G71" i="1"/>
  <c r="B71" i="1"/>
  <c r="D69" i="1"/>
  <c r="E69" i="1"/>
  <c r="G69" i="1"/>
  <c r="C70" i="1"/>
  <c r="D70" i="1"/>
  <c r="E70" i="1"/>
  <c r="F70" i="1"/>
  <c r="G70" i="1"/>
  <c r="B70" i="1"/>
  <c r="B69" i="1"/>
  <c r="C68" i="1"/>
  <c r="D68" i="1"/>
  <c r="E68" i="1"/>
  <c r="F68" i="1"/>
  <c r="G68" i="1"/>
  <c r="B68" i="1"/>
  <c r="F65" i="1"/>
  <c r="G65" i="1"/>
  <c r="B62" i="1"/>
  <c r="E62" i="1"/>
  <c r="G62" i="1"/>
  <c r="C62" i="1"/>
  <c r="E63" i="1"/>
  <c r="B64" i="1"/>
  <c r="D64" i="1"/>
  <c r="E64" i="1"/>
  <c r="F64" i="1"/>
  <c r="G64" i="1"/>
  <c r="B16" i="1"/>
  <c r="B21" i="1"/>
  <c r="C21" i="1"/>
  <c r="J45" i="1"/>
  <c r="E42" i="1"/>
  <c r="C43" i="1"/>
  <c r="G45" i="1" a="1"/>
  <c r="G45" i="1" s="1"/>
  <c r="D43" i="1"/>
  <c r="J43" i="1" s="1"/>
  <c r="E43" i="1"/>
  <c r="F43" i="1"/>
  <c r="G43" i="1"/>
  <c r="H43" i="1"/>
  <c r="I43" i="1"/>
  <c r="E44" i="1"/>
  <c r="F44" i="1"/>
  <c r="G44" i="1"/>
  <c r="H44" i="1"/>
  <c r="I44" i="1"/>
  <c r="C45" i="1"/>
  <c r="E45" i="1"/>
  <c r="F45" i="1"/>
  <c r="H45" i="1"/>
  <c r="I45" i="1"/>
  <c r="B44" i="1"/>
  <c r="B45" i="1"/>
  <c r="B43" i="1"/>
  <c r="C42" i="1"/>
  <c r="C44" i="1" s="1"/>
  <c r="D42" i="1"/>
  <c r="D44" i="1" s="1"/>
  <c r="J44" i="1" s="1"/>
  <c r="F42" i="1"/>
  <c r="G42" i="1"/>
  <c r="H42" i="1"/>
  <c r="I42" i="1"/>
  <c r="B42" i="1"/>
  <c r="J39" i="1"/>
  <c r="J38" i="1"/>
  <c r="J37" i="1"/>
  <c r="J36" i="1"/>
  <c r="D21" i="1"/>
  <c r="E21" i="1"/>
  <c r="F21" i="1"/>
  <c r="B19" i="1"/>
  <c r="D19" i="1"/>
  <c r="E19" i="1"/>
  <c r="F19" i="1"/>
  <c r="C19" i="1"/>
  <c r="B15" i="1"/>
  <c r="B14" i="1"/>
  <c r="B20" i="1"/>
  <c r="D20" i="1"/>
  <c r="E20" i="1"/>
  <c r="F20" i="1"/>
  <c r="C20" i="1"/>
  <c r="C15" i="1"/>
  <c r="D15" i="1"/>
  <c r="E15" i="1"/>
  <c r="F15" i="1"/>
  <c r="G15" i="1"/>
  <c r="C16" i="1"/>
  <c r="D16" i="1"/>
  <c r="E16" i="1"/>
  <c r="F16" i="1"/>
  <c r="C14" i="1"/>
  <c r="D14" i="1"/>
  <c r="E14" i="1"/>
  <c r="F14" i="1"/>
  <c r="W9" i="1"/>
  <c r="W10" i="1" s="1"/>
  <c r="Q16" i="1" s="1"/>
  <c r="X9" i="1"/>
  <c r="X10" i="1" s="1"/>
  <c r="R16" i="1" s="1"/>
  <c r="Y9" i="1"/>
  <c r="Z9" i="1"/>
  <c r="Z10" i="1" s="1"/>
  <c r="T16" i="1" s="1"/>
  <c r="AA9" i="1"/>
  <c r="AA10" i="1" s="1"/>
  <c r="U16" i="1" s="1"/>
  <c r="V8" i="1"/>
  <c r="V9" i="1" s="1"/>
  <c r="D45" i="1" l="1"/>
  <c r="V10" i="1"/>
  <c r="P16" i="1" s="1"/>
  <c r="U15" i="1"/>
  <c r="S15" i="1"/>
  <c r="T15" i="1"/>
  <c r="P14" i="1"/>
  <c r="P15" i="1" s="1"/>
  <c r="Q15" i="1"/>
  <c r="R15" i="1"/>
  <c r="Y10" i="1"/>
  <c r="S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<sst xmlns="http://schemas.openxmlformats.org/spreadsheetml/2006/main" count="133" uniqueCount="44">
  <si>
    <t>Malz</t>
  </si>
  <si>
    <t xml:space="preserve">Hapfen </t>
  </si>
  <si>
    <t>export</t>
  </si>
  <si>
    <t>Original</t>
  </si>
  <si>
    <t>5*Export</t>
  </si>
  <si>
    <t>3*Original</t>
  </si>
  <si>
    <t>2*Export</t>
  </si>
  <si>
    <t>2*Original</t>
  </si>
  <si>
    <t>Sup</t>
  </si>
  <si>
    <t>Inf</t>
  </si>
  <si>
    <t>s1</t>
  </si>
  <si>
    <t>s2</t>
  </si>
  <si>
    <t>s3</t>
  </si>
  <si>
    <t>G</t>
  </si>
  <si>
    <t>RS</t>
  </si>
  <si>
    <t>Q</t>
  </si>
  <si>
    <t>Ex</t>
  </si>
  <si>
    <t>Or</t>
  </si>
  <si>
    <t>DAI</t>
  </si>
  <si>
    <t>KAMI</t>
  </si>
  <si>
    <t>LONG</t>
  </si>
  <si>
    <t>Weißer Rum:</t>
  </si>
  <si>
    <t>45x1+20x2&lt;=5000</t>
  </si>
  <si>
    <t>Contreau:</t>
  </si>
  <si>
    <t>30x1+30x2+20x3&lt;=6000</t>
  </si>
  <si>
    <t>Gin:</t>
  </si>
  <si>
    <t>20x3&lt;=3000</t>
  </si>
  <si>
    <t>Wodka</t>
  </si>
  <si>
    <t>30x2+20x3&lt;=4000</t>
  </si>
  <si>
    <t>max</t>
  </si>
  <si>
    <t>5.50x1+4.50x2+7.00x3</t>
  </si>
  <si>
    <t>x2 Anzahl Kamikazes</t>
  </si>
  <si>
    <t>x1 Anzahl Daquiris</t>
  </si>
  <si>
    <t>x3 Anzahl Long Islands</t>
  </si>
  <si>
    <t>KAM</t>
  </si>
  <si>
    <t>wr</t>
  </si>
  <si>
    <t>c</t>
  </si>
  <si>
    <t>g</t>
  </si>
  <si>
    <t>wo</t>
  </si>
  <si>
    <t>x2</t>
  </si>
  <si>
    <t>x1</t>
  </si>
  <si>
    <t>sa</t>
  </si>
  <si>
    <t>sb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</si>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</sst>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19050</xdr:rowOff>
    </xdr:from>
    <xdr:to>
      <xdr:col>8</xdr:col>
      <xdr:colOff>88900</xdr:colOff>
      <xdr:row>53</xdr:row>
      <xdr:rowOff>63500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B60B0D9-1563-6E31-CAF8-F8148A9EB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8250"/>
          <a:ext cx="6184900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4009-9341-4120-AB2A-385BE365FFE2}">
  <dimension ref="A1:AA71"/>
  <sheetViews>
    <sheetView tabSelected="1" topLeftCell="A25" workbookViewId="0">
      <selection activeCell="E12" sqref="E12"/>
    </sheetView>
  </sheetViews>
  <sheetFormatPr baseColWidth="10" defaultRowHeight="14.5" x14ac:dyDescent="0.35"/>
  <cols>
    <col min="1" max="8" width="10.90625" style="2"/>
  </cols>
  <sheetData>
    <row r="1" spans="1:27" x14ac:dyDescent="0.35">
      <c r="A1" s="2" t="s">
        <v>2</v>
      </c>
      <c r="B1" s="2" t="s">
        <v>3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14</v>
      </c>
    </row>
    <row r="2" spans="1:27" x14ac:dyDescent="0.35">
      <c r="A2" s="2">
        <v>100</v>
      </c>
      <c r="B2" s="2">
        <v>90</v>
      </c>
      <c r="U2" t="s">
        <v>10</v>
      </c>
      <c r="V2" s="1">
        <v>2</v>
      </c>
      <c r="W2">
        <v>0</v>
      </c>
      <c r="X2">
        <v>1</v>
      </c>
      <c r="Y2">
        <v>0</v>
      </c>
      <c r="Z2">
        <v>0</v>
      </c>
      <c r="AA2">
        <v>400</v>
      </c>
    </row>
    <row r="3" spans="1:27" x14ac:dyDescent="0.35">
      <c r="U3" t="s">
        <v>11</v>
      </c>
      <c r="V3">
        <v>0</v>
      </c>
      <c r="W3">
        <v>1</v>
      </c>
      <c r="X3">
        <v>0</v>
      </c>
      <c r="Y3">
        <v>1</v>
      </c>
      <c r="Z3">
        <v>0</v>
      </c>
      <c r="AA3">
        <v>600</v>
      </c>
    </row>
    <row r="4" spans="1:27" x14ac:dyDescent="0.35">
      <c r="U4" t="s">
        <v>12</v>
      </c>
      <c r="V4">
        <v>1</v>
      </c>
      <c r="W4">
        <v>1</v>
      </c>
      <c r="X4">
        <v>0</v>
      </c>
      <c r="Y4">
        <v>0</v>
      </c>
      <c r="Z4">
        <v>1</v>
      </c>
      <c r="AA4">
        <v>850</v>
      </c>
    </row>
    <row r="5" spans="1:27" x14ac:dyDescent="0.35">
      <c r="A5" s="2" t="s">
        <v>1</v>
      </c>
      <c r="B5" s="2" t="s">
        <v>4</v>
      </c>
      <c r="C5" s="2" t="s">
        <v>5</v>
      </c>
      <c r="D5" s="2">
        <v>100</v>
      </c>
      <c r="U5" t="s">
        <v>13</v>
      </c>
      <c r="V5">
        <v>-1000</v>
      </c>
      <c r="W5">
        <v>-700</v>
      </c>
      <c r="X5">
        <v>0</v>
      </c>
      <c r="Y5">
        <v>0</v>
      </c>
      <c r="Z5">
        <v>0</v>
      </c>
      <c r="AA5">
        <v>0</v>
      </c>
    </row>
    <row r="6" spans="1:27" x14ac:dyDescent="0.35">
      <c r="A6" s="2" t="s">
        <v>0</v>
      </c>
      <c r="B6" s="2" t="s">
        <v>6</v>
      </c>
      <c r="C6" s="2" t="s">
        <v>7</v>
      </c>
      <c r="D6" s="2">
        <v>50</v>
      </c>
    </row>
    <row r="7" spans="1:27" x14ac:dyDescent="0.35">
      <c r="V7" t="s">
        <v>8</v>
      </c>
      <c r="W7" t="s">
        <v>9</v>
      </c>
      <c r="X7" t="s">
        <v>10</v>
      </c>
      <c r="Y7" t="s">
        <v>11</v>
      </c>
      <c r="Z7" t="s">
        <v>12</v>
      </c>
      <c r="AA7" t="s">
        <v>14</v>
      </c>
    </row>
    <row r="8" spans="1:27" x14ac:dyDescent="0.35">
      <c r="B8" s="2" t="s">
        <v>16</v>
      </c>
      <c r="C8" s="2" t="s">
        <v>17</v>
      </c>
      <c r="D8" s="2" t="s">
        <v>10</v>
      </c>
      <c r="E8" s="2" t="s">
        <v>11</v>
      </c>
      <c r="F8" s="2" t="s">
        <v>14</v>
      </c>
      <c r="U8" t="s">
        <v>8</v>
      </c>
      <c r="V8">
        <f>V2/$V2</f>
        <v>1</v>
      </c>
      <c r="W8">
        <v>0</v>
      </c>
      <c r="X8">
        <v>1</v>
      </c>
      <c r="Y8">
        <v>0</v>
      </c>
      <c r="Z8">
        <v>0</v>
      </c>
      <c r="AA8">
        <v>400</v>
      </c>
    </row>
    <row r="9" spans="1:27" x14ac:dyDescent="0.35">
      <c r="A9" s="2" t="s">
        <v>10</v>
      </c>
      <c r="B9" s="3">
        <v>5</v>
      </c>
      <c r="C9" s="2">
        <v>3</v>
      </c>
      <c r="D9" s="2">
        <v>1</v>
      </c>
      <c r="E9" s="2">
        <v>0</v>
      </c>
      <c r="F9" s="2">
        <v>100</v>
      </c>
      <c r="G9" s="2">
        <v>20</v>
      </c>
      <c r="U9" t="s">
        <v>11</v>
      </c>
      <c r="V9">
        <f t="shared" ref="V9:AA10" si="0">V3-$V3*V8</f>
        <v>0</v>
      </c>
      <c r="W9" s="1">
        <f t="shared" si="0"/>
        <v>1</v>
      </c>
      <c r="X9">
        <f t="shared" si="0"/>
        <v>0</v>
      </c>
      <c r="Y9">
        <f t="shared" si="0"/>
        <v>1</v>
      </c>
      <c r="Z9">
        <f t="shared" si="0"/>
        <v>0</v>
      </c>
      <c r="AA9">
        <f t="shared" si="0"/>
        <v>600</v>
      </c>
    </row>
    <row r="10" spans="1:27" x14ac:dyDescent="0.35">
      <c r="A10" s="2" t="s">
        <v>11</v>
      </c>
      <c r="B10" s="2">
        <v>2</v>
      </c>
      <c r="C10" s="2">
        <v>2</v>
      </c>
      <c r="D10" s="2">
        <v>0</v>
      </c>
      <c r="E10" s="2">
        <v>1</v>
      </c>
      <c r="F10" s="2">
        <v>50</v>
      </c>
      <c r="G10" s="2">
        <v>25</v>
      </c>
      <c r="U10" t="s">
        <v>12</v>
      </c>
      <c r="V10">
        <f t="shared" si="0"/>
        <v>1</v>
      </c>
      <c r="W10">
        <f t="shared" si="0"/>
        <v>0</v>
      </c>
      <c r="X10">
        <f t="shared" si="0"/>
        <v>0</v>
      </c>
      <c r="Y10">
        <f t="shared" si="0"/>
        <v>-1</v>
      </c>
      <c r="Z10">
        <f t="shared" si="0"/>
        <v>1</v>
      </c>
      <c r="AA10">
        <f t="shared" si="0"/>
        <v>250</v>
      </c>
    </row>
    <row r="11" spans="1:27" x14ac:dyDescent="0.35">
      <c r="A11" s="2" t="s">
        <v>13</v>
      </c>
      <c r="B11" s="2">
        <v>-100</v>
      </c>
      <c r="C11" s="2">
        <v>-90</v>
      </c>
      <c r="D11" s="2">
        <v>0</v>
      </c>
      <c r="E11" s="2">
        <v>0</v>
      </c>
      <c r="F11" s="2">
        <v>0</v>
      </c>
      <c r="U11" t="s">
        <v>13</v>
      </c>
    </row>
    <row r="12" spans="1:27" x14ac:dyDescent="0.35">
      <c r="W12">
        <v>-700</v>
      </c>
    </row>
    <row r="13" spans="1:27" x14ac:dyDescent="0.35">
      <c r="B13" s="2" t="s">
        <v>16</v>
      </c>
      <c r="C13" s="2" t="s">
        <v>17</v>
      </c>
      <c r="D13" s="2" t="s">
        <v>10</v>
      </c>
      <c r="E13" s="2" t="s">
        <v>11</v>
      </c>
      <c r="F13" s="2" t="s">
        <v>14</v>
      </c>
      <c r="V13" t="s">
        <v>8</v>
      </c>
      <c r="X13" t="s">
        <v>10</v>
      </c>
      <c r="Y13" t="s">
        <v>11</v>
      </c>
      <c r="Z13" t="s">
        <v>12</v>
      </c>
      <c r="AA13" t="s">
        <v>14</v>
      </c>
    </row>
    <row r="14" spans="1:27" x14ac:dyDescent="0.35">
      <c r="A14" s="2" t="s">
        <v>16</v>
      </c>
      <c r="B14" s="2">
        <f>B9/$B$9</f>
        <v>1</v>
      </c>
      <c r="C14" s="2">
        <f t="shared" ref="C14:F14" si="1">C9/$B$9</f>
        <v>0.6</v>
      </c>
      <c r="D14" s="2">
        <f t="shared" si="1"/>
        <v>0.2</v>
      </c>
      <c r="E14" s="2">
        <f t="shared" si="1"/>
        <v>0</v>
      </c>
      <c r="F14" s="2">
        <f t="shared" si="1"/>
        <v>20</v>
      </c>
      <c r="G14" s="2">
        <v>33.333329999999997</v>
      </c>
      <c r="O14" t="s">
        <v>8</v>
      </c>
      <c r="P14">
        <f>V8/$V8</f>
        <v>1</v>
      </c>
      <c r="Q14">
        <v>0</v>
      </c>
      <c r="R14">
        <v>1</v>
      </c>
      <c r="S14">
        <v>0</v>
      </c>
      <c r="T14">
        <v>0</v>
      </c>
      <c r="U14">
        <v>400</v>
      </c>
    </row>
    <row r="15" spans="1:27" x14ac:dyDescent="0.35">
      <c r="A15" s="2" t="s">
        <v>11</v>
      </c>
      <c r="B15" s="2">
        <f>B10-($B10*B$14)</f>
        <v>0</v>
      </c>
      <c r="C15" s="3">
        <f t="shared" ref="C15:F15" si="2">C10-($B10*C$14)</f>
        <v>0.8</v>
      </c>
      <c r="D15" s="2">
        <f t="shared" si="2"/>
        <v>-0.4</v>
      </c>
      <c r="E15" s="2">
        <f t="shared" si="2"/>
        <v>1</v>
      </c>
      <c r="F15" s="2">
        <f t="shared" si="2"/>
        <v>10</v>
      </c>
      <c r="G15" s="2">
        <f>12.5</f>
        <v>12.5</v>
      </c>
      <c r="O15" t="s">
        <v>11</v>
      </c>
      <c r="P15">
        <f t="shared" ref="P15:U15" si="3">V9-$V9*P14</f>
        <v>0</v>
      </c>
      <c r="Q15" s="1">
        <f t="shared" si="3"/>
        <v>1</v>
      </c>
      <c r="R15">
        <f t="shared" si="3"/>
        <v>0</v>
      </c>
      <c r="S15">
        <f t="shared" si="3"/>
        <v>1</v>
      </c>
      <c r="T15">
        <f t="shared" si="3"/>
        <v>0</v>
      </c>
      <c r="U15">
        <f t="shared" si="3"/>
        <v>600</v>
      </c>
    </row>
    <row r="16" spans="1:27" x14ac:dyDescent="0.35">
      <c r="A16" s="2" t="s">
        <v>13</v>
      </c>
      <c r="B16" s="2">
        <f>B11+(100*B$14)</f>
        <v>0</v>
      </c>
      <c r="C16" s="2">
        <f t="shared" ref="C16:F16" si="4">C11+(100*C$14)</f>
        <v>-30</v>
      </c>
      <c r="D16" s="2">
        <f t="shared" si="4"/>
        <v>20</v>
      </c>
      <c r="E16" s="2">
        <f t="shared" si="4"/>
        <v>0</v>
      </c>
      <c r="F16" s="2">
        <f t="shared" si="4"/>
        <v>2000</v>
      </c>
      <c r="O16" t="s">
        <v>12</v>
      </c>
      <c r="P16">
        <f t="shared" ref="P16:U16" si="5">V10-V$10*Q$14</f>
        <v>1</v>
      </c>
      <c r="Q16">
        <f t="shared" si="5"/>
        <v>0</v>
      </c>
      <c r="R16">
        <f t="shared" si="5"/>
        <v>0</v>
      </c>
      <c r="S16">
        <f t="shared" si="5"/>
        <v>-1</v>
      </c>
      <c r="T16">
        <f t="shared" si="5"/>
        <v>-399</v>
      </c>
      <c r="U16">
        <f t="shared" si="5"/>
        <v>250</v>
      </c>
    </row>
    <row r="17" spans="1:27" x14ac:dyDescent="0.35">
      <c r="U17" t="s">
        <v>13</v>
      </c>
      <c r="V17">
        <v>-1000</v>
      </c>
      <c r="W17">
        <v>1</v>
      </c>
      <c r="X17">
        <v>0</v>
      </c>
      <c r="Y17">
        <v>0</v>
      </c>
      <c r="Z17">
        <v>0</v>
      </c>
      <c r="AA17">
        <v>0</v>
      </c>
    </row>
    <row r="18" spans="1:27" x14ac:dyDescent="0.35">
      <c r="B18" s="2" t="s">
        <v>16</v>
      </c>
      <c r="C18" s="2" t="s">
        <v>17</v>
      </c>
      <c r="D18" s="2" t="s">
        <v>10</v>
      </c>
      <c r="E18" s="2" t="s">
        <v>11</v>
      </c>
      <c r="F18" s="2" t="s">
        <v>14</v>
      </c>
      <c r="J18">
        <v>-700</v>
      </c>
    </row>
    <row r="19" spans="1:27" x14ac:dyDescent="0.35">
      <c r="A19" s="2" t="s">
        <v>16</v>
      </c>
      <c r="B19" s="2">
        <f>B14-$C$14*B20</f>
        <v>1</v>
      </c>
      <c r="C19" s="2">
        <f>C14-$C$14*C20</f>
        <v>0</v>
      </c>
      <c r="D19" s="2">
        <f t="shared" ref="D19:F19" si="6">D14-$C$14*D20</f>
        <v>0.5</v>
      </c>
      <c r="E19" s="2">
        <f t="shared" si="6"/>
        <v>-0.75</v>
      </c>
      <c r="F19" s="2">
        <f t="shared" si="6"/>
        <v>12.5</v>
      </c>
    </row>
    <row r="20" spans="1:27" x14ac:dyDescent="0.35">
      <c r="A20" s="2" t="s">
        <v>17</v>
      </c>
      <c r="B20" s="2">
        <f>B15/$C$15</f>
        <v>0</v>
      </c>
      <c r="C20" s="2">
        <f>C15/$C$15</f>
        <v>1</v>
      </c>
      <c r="D20" s="2">
        <f t="shared" ref="D20:F20" si="7">D15/$C$15</f>
        <v>-0.5</v>
      </c>
      <c r="E20" s="2">
        <f t="shared" si="7"/>
        <v>1.25</v>
      </c>
      <c r="F20" s="2">
        <f t="shared" si="7"/>
        <v>12.5</v>
      </c>
    </row>
    <row r="21" spans="1:27" x14ac:dyDescent="0.35">
      <c r="A21" s="2" t="s">
        <v>13</v>
      </c>
      <c r="B21" s="2">
        <f>B16-($C$16*B19)</f>
        <v>30</v>
      </c>
      <c r="C21" s="2">
        <f>C16-($C$16*C19)</f>
        <v>-30</v>
      </c>
      <c r="D21" s="2">
        <f t="shared" ref="D21:F21" si="8">D16-($C$16*D19)</f>
        <v>35</v>
      </c>
      <c r="E21" s="2">
        <f t="shared" si="8"/>
        <v>-22.5</v>
      </c>
      <c r="F21" s="2">
        <f t="shared" si="8"/>
        <v>2375</v>
      </c>
    </row>
    <row r="24" spans="1:27" x14ac:dyDescent="0.35">
      <c r="A24" s="2" t="s">
        <v>21</v>
      </c>
      <c r="B24" s="2" t="s">
        <v>22</v>
      </c>
    </row>
    <row r="25" spans="1:27" x14ac:dyDescent="0.35">
      <c r="A25" s="2" t="s">
        <v>23</v>
      </c>
      <c r="B25" s="2" t="s">
        <v>24</v>
      </c>
    </row>
    <row r="26" spans="1:27" x14ac:dyDescent="0.35">
      <c r="A26" s="2" t="s">
        <v>25</v>
      </c>
      <c r="B26" s="2" t="s">
        <v>26</v>
      </c>
    </row>
    <row r="27" spans="1:27" x14ac:dyDescent="0.35">
      <c r="A27" s="2" t="s">
        <v>27</v>
      </c>
      <c r="B27" s="2" t="s">
        <v>28</v>
      </c>
    </row>
    <row r="29" spans="1:27" x14ac:dyDescent="0.35">
      <c r="A29" s="2" t="s">
        <v>29</v>
      </c>
      <c r="B29" s="2" t="s">
        <v>30</v>
      </c>
    </row>
    <row r="31" spans="1:27" x14ac:dyDescent="0.35">
      <c r="A31" s="2" t="s">
        <v>32</v>
      </c>
    </row>
    <row r="32" spans="1:27" x14ac:dyDescent="0.35">
      <c r="A32" s="2" t="s">
        <v>31</v>
      </c>
    </row>
    <row r="33" spans="1:10" x14ac:dyDescent="0.35">
      <c r="A33" s="2" t="s">
        <v>33</v>
      </c>
    </row>
    <row r="35" spans="1:10" x14ac:dyDescent="0.35">
      <c r="B35" s="2" t="s">
        <v>18</v>
      </c>
      <c r="C35" s="2" t="s">
        <v>34</v>
      </c>
      <c r="D35" s="2" t="s">
        <v>20</v>
      </c>
      <c r="E35" s="2" t="s">
        <v>35</v>
      </c>
      <c r="F35" s="2" t="s">
        <v>36</v>
      </c>
      <c r="G35" s="2" t="s">
        <v>37</v>
      </c>
      <c r="H35" s="2" t="s">
        <v>38</v>
      </c>
      <c r="I35" t="s">
        <v>14</v>
      </c>
      <c r="J35" t="s">
        <v>15</v>
      </c>
    </row>
    <row r="36" spans="1:10" x14ac:dyDescent="0.35">
      <c r="A36" s="2" t="s">
        <v>35</v>
      </c>
      <c r="B36" s="2">
        <v>45</v>
      </c>
      <c r="C36" s="2">
        <v>0</v>
      </c>
      <c r="D36" s="2">
        <v>20</v>
      </c>
      <c r="E36" s="2">
        <v>1</v>
      </c>
      <c r="F36" s="2">
        <v>0</v>
      </c>
      <c r="G36" s="2">
        <v>0</v>
      </c>
      <c r="H36" s="2">
        <v>0</v>
      </c>
      <c r="I36">
        <v>5000</v>
      </c>
      <c r="J36">
        <f>I36/B36</f>
        <v>111.11111111111111</v>
      </c>
    </row>
    <row r="37" spans="1:10" x14ac:dyDescent="0.35">
      <c r="A37" s="2" t="s">
        <v>36</v>
      </c>
      <c r="B37" s="2">
        <v>30</v>
      </c>
      <c r="C37" s="2">
        <v>30</v>
      </c>
      <c r="D37" s="2">
        <v>20</v>
      </c>
      <c r="E37" s="2">
        <v>0</v>
      </c>
      <c r="F37" s="2">
        <v>1</v>
      </c>
      <c r="G37" s="2">
        <v>0</v>
      </c>
      <c r="H37" s="2">
        <v>0</v>
      </c>
      <c r="I37">
        <v>6000</v>
      </c>
      <c r="J37">
        <f>I37/B37</f>
        <v>200</v>
      </c>
    </row>
    <row r="38" spans="1:10" x14ac:dyDescent="0.35">
      <c r="A38" s="2" t="s">
        <v>37</v>
      </c>
      <c r="B38" s="2">
        <v>0</v>
      </c>
      <c r="C38" s="2">
        <v>0</v>
      </c>
      <c r="D38" s="2">
        <v>20</v>
      </c>
      <c r="E38" s="2">
        <v>0</v>
      </c>
      <c r="F38" s="2">
        <v>0</v>
      </c>
      <c r="G38" s="2">
        <v>1</v>
      </c>
      <c r="H38" s="2">
        <v>0</v>
      </c>
      <c r="I38">
        <v>3000</v>
      </c>
      <c r="J38">
        <f>I38/D38</f>
        <v>150</v>
      </c>
    </row>
    <row r="39" spans="1:10" x14ac:dyDescent="0.35">
      <c r="A39" s="2" t="s">
        <v>38</v>
      </c>
      <c r="B39" s="2">
        <v>0</v>
      </c>
      <c r="C39" s="2">
        <v>30</v>
      </c>
      <c r="D39" s="2">
        <v>20</v>
      </c>
      <c r="E39" s="2">
        <v>0</v>
      </c>
      <c r="F39" s="2">
        <v>0</v>
      </c>
      <c r="G39" s="2">
        <v>0</v>
      </c>
      <c r="H39" s="2">
        <v>1</v>
      </c>
      <c r="I39">
        <v>4000</v>
      </c>
      <c r="J39">
        <f>I39/C39</f>
        <v>133.33333333333334</v>
      </c>
    </row>
    <row r="41" spans="1:10" x14ac:dyDescent="0.35">
      <c r="B41" s="2" t="s">
        <v>18</v>
      </c>
      <c r="C41" s="2" t="s">
        <v>34</v>
      </c>
      <c r="D41" s="2" t="s">
        <v>20</v>
      </c>
      <c r="E41" s="2" t="s">
        <v>35</v>
      </c>
      <c r="F41" s="2" t="s">
        <v>36</v>
      </c>
      <c r="G41" s="2" t="s">
        <v>37</v>
      </c>
      <c r="H41" s="2" t="s">
        <v>38</v>
      </c>
      <c r="I41" t="s">
        <v>14</v>
      </c>
      <c r="J41" t="s">
        <v>15</v>
      </c>
    </row>
    <row r="42" spans="1:10" x14ac:dyDescent="0.35">
      <c r="A42" s="2" t="s">
        <v>35</v>
      </c>
      <c r="B42" s="2">
        <f>B36/$B$36</f>
        <v>1</v>
      </c>
      <c r="C42" s="2">
        <f t="shared" ref="C42:I42" si="9">C36/$B$36</f>
        <v>0</v>
      </c>
      <c r="D42" s="2">
        <f t="shared" si="9"/>
        <v>0.44444444444444442</v>
      </c>
      <c r="E42" s="2">
        <f>E36/$B$36</f>
        <v>2.2222222222222223E-2</v>
      </c>
      <c r="F42" s="2">
        <f t="shared" si="9"/>
        <v>0</v>
      </c>
      <c r="G42" s="2">
        <f t="shared" si="9"/>
        <v>0</v>
      </c>
      <c r="H42" s="2">
        <f t="shared" si="9"/>
        <v>0</v>
      </c>
      <c r="I42">
        <f t="shared" si="9"/>
        <v>111.11111111111111</v>
      </c>
    </row>
    <row r="43" spans="1:10" x14ac:dyDescent="0.35">
      <c r="A43" s="2" t="s">
        <v>36</v>
      </c>
      <c r="B43" s="2">
        <f>B37-$B37*B$42</f>
        <v>0</v>
      </c>
      <c r="C43" s="2">
        <f>C37-$B37*C$42</f>
        <v>30</v>
      </c>
      <c r="D43" s="2">
        <f t="shared" ref="D43:I43" si="10">D37-$B37*D$42</f>
        <v>6.6666666666666679</v>
      </c>
      <c r="E43" s="2">
        <f t="shared" si="10"/>
        <v>-0.66666666666666674</v>
      </c>
      <c r="F43" s="2">
        <f t="shared" si="10"/>
        <v>1</v>
      </c>
      <c r="G43" s="2">
        <f t="shared" si="10"/>
        <v>0</v>
      </c>
      <c r="H43" s="2">
        <f t="shared" si="10"/>
        <v>0</v>
      </c>
      <c r="I43">
        <f t="shared" si="10"/>
        <v>2666.6666666666665</v>
      </c>
      <c r="J43">
        <f>I43/D43</f>
        <v>399.99999999999989</v>
      </c>
    </row>
    <row r="44" spans="1:10" x14ac:dyDescent="0.35">
      <c r="A44" s="2" t="s">
        <v>37</v>
      </c>
      <c r="B44" s="2">
        <f t="shared" ref="B44:I45" si="11">B38-$B38*B$42</f>
        <v>0</v>
      </c>
      <c r="C44" s="2">
        <f>C38-$B38*C$42</f>
        <v>0</v>
      </c>
      <c r="D44" s="2">
        <f t="shared" si="11"/>
        <v>20</v>
      </c>
      <c r="E44" s="2">
        <f t="shared" si="11"/>
        <v>0</v>
      </c>
      <c r="F44" s="2">
        <f t="shared" si="11"/>
        <v>0</v>
      </c>
      <c r="G44" s="2">
        <f t="shared" si="11"/>
        <v>1</v>
      </c>
      <c r="H44" s="2">
        <f t="shared" si="11"/>
        <v>0</v>
      </c>
      <c r="I44">
        <f t="shared" si="11"/>
        <v>3000</v>
      </c>
      <c r="J44">
        <f>I44/D44</f>
        <v>150</v>
      </c>
    </row>
    <row r="45" spans="1:10" x14ac:dyDescent="0.35">
      <c r="A45" s="2" t="s">
        <v>38</v>
      </c>
      <c r="B45" s="2">
        <f t="shared" si="11"/>
        <v>0</v>
      </c>
      <c r="C45" s="2">
        <f t="shared" si="11"/>
        <v>30</v>
      </c>
      <c r="D45" s="2">
        <f t="shared" si="11"/>
        <v>20</v>
      </c>
      <c r="E45" s="2">
        <f t="shared" si="11"/>
        <v>0</v>
      </c>
      <c r="F45" s="2">
        <f t="shared" si="11"/>
        <v>0</v>
      </c>
      <c r="G45" s="2" t="e" cm="1">
        <f t="array" ref="G45">G39-A44:B44B39*G$42</f>
        <v>#NAME?</v>
      </c>
      <c r="H45" s="2">
        <f t="shared" si="11"/>
        <v>1</v>
      </c>
      <c r="I45">
        <f t="shared" si="11"/>
        <v>4000</v>
      </c>
      <c r="J45">
        <f>I45/C45</f>
        <v>133.33333333333334</v>
      </c>
    </row>
    <row r="55" spans="1:8" x14ac:dyDescent="0.35">
      <c r="B55" s="2" t="s">
        <v>40</v>
      </c>
      <c r="C55" s="2" t="s">
        <v>39</v>
      </c>
      <c r="D55" s="2" t="s">
        <v>41</v>
      </c>
      <c r="E55" s="2" t="s">
        <v>42</v>
      </c>
      <c r="F55" s="2" t="s">
        <v>43</v>
      </c>
      <c r="G55" s="2" t="s">
        <v>14</v>
      </c>
      <c r="H55" s="2" t="s">
        <v>15</v>
      </c>
    </row>
    <row r="56" spans="1:8" x14ac:dyDescent="0.35">
      <c r="A56" s="2" t="s">
        <v>41</v>
      </c>
      <c r="B56" s="2">
        <v>1</v>
      </c>
      <c r="C56" s="2">
        <v>2</v>
      </c>
      <c r="D56" s="2">
        <v>1</v>
      </c>
      <c r="E56" s="2">
        <v>0</v>
      </c>
      <c r="F56" s="2">
        <v>0</v>
      </c>
      <c r="G56" s="2">
        <v>170</v>
      </c>
      <c r="H56" s="2">
        <v>85</v>
      </c>
    </row>
    <row r="57" spans="1:8" x14ac:dyDescent="0.35">
      <c r="A57" s="2" t="s">
        <v>42</v>
      </c>
      <c r="B57" s="2">
        <v>1</v>
      </c>
      <c r="C57" s="2">
        <v>1</v>
      </c>
      <c r="D57" s="2">
        <v>0</v>
      </c>
      <c r="E57" s="2">
        <v>1</v>
      </c>
      <c r="F57" s="2">
        <v>0</v>
      </c>
      <c r="G57" s="2">
        <v>150</v>
      </c>
      <c r="H57" s="2">
        <v>150</v>
      </c>
    </row>
    <row r="58" spans="1:8" x14ac:dyDescent="0.35">
      <c r="A58" s="2" t="s">
        <v>43</v>
      </c>
      <c r="B58" s="2">
        <v>0</v>
      </c>
      <c r="C58" s="3">
        <v>3</v>
      </c>
      <c r="D58" s="2">
        <v>0</v>
      </c>
      <c r="E58" s="2">
        <v>0</v>
      </c>
      <c r="F58" s="2">
        <v>1</v>
      </c>
      <c r="G58" s="2">
        <v>180</v>
      </c>
      <c r="H58" s="2">
        <v>60</v>
      </c>
    </row>
    <row r="59" spans="1:8" x14ac:dyDescent="0.35">
      <c r="B59" s="2">
        <v>-300</v>
      </c>
      <c r="C59" s="2">
        <v>-500</v>
      </c>
    </row>
    <row r="61" spans="1:8" x14ac:dyDescent="0.35">
      <c r="B61" s="2" t="s">
        <v>40</v>
      </c>
      <c r="C61" s="2" t="s">
        <v>39</v>
      </c>
      <c r="D61" s="2" t="s">
        <v>41</v>
      </c>
      <c r="E61" s="2" t="s">
        <v>42</v>
      </c>
      <c r="F61" s="2" t="s">
        <v>43</v>
      </c>
      <c r="G61" s="2" t="s">
        <v>14</v>
      </c>
      <c r="H61" s="2" t="s">
        <v>15</v>
      </c>
    </row>
    <row r="62" spans="1:8" x14ac:dyDescent="0.35">
      <c r="A62" s="2" t="s">
        <v>41</v>
      </c>
      <c r="B62" s="3">
        <f>B56-($C56*B$64)</f>
        <v>1</v>
      </c>
      <c r="C62" s="2">
        <f>C56-($C56*C$64)</f>
        <v>0</v>
      </c>
      <c r="D62" s="2">
        <f>D56-($C56*D$64)</f>
        <v>1</v>
      </c>
      <c r="E62" s="2">
        <f t="shared" ref="D62:G62" si="12">E56-($C56*E$64)</f>
        <v>0</v>
      </c>
      <c r="F62" s="2">
        <f>F56-($C56*F$64)</f>
        <v>-0.66666666666666663</v>
      </c>
      <c r="G62" s="2">
        <f t="shared" si="12"/>
        <v>50</v>
      </c>
      <c r="H62" s="2">
        <v>50</v>
      </c>
    </row>
    <row r="63" spans="1:8" x14ac:dyDescent="0.35">
      <c r="A63" s="2" t="s">
        <v>42</v>
      </c>
      <c r="B63" s="2">
        <f>B57-($C57*B$64)</f>
        <v>1</v>
      </c>
      <c r="C63" s="2">
        <f>C57-($C57*C$64)</f>
        <v>0</v>
      </c>
      <c r="D63" s="2">
        <f>D57-($C57*D$64)</f>
        <v>0</v>
      </c>
      <c r="E63" s="2">
        <f t="shared" ref="E63:G63" si="13">E57-($C57*E$64)</f>
        <v>1</v>
      </c>
      <c r="F63" s="2">
        <f>F57-($C57*F$64)</f>
        <v>-0.33333333333333331</v>
      </c>
      <c r="G63" s="2">
        <f>G57-($C57*G$64)</f>
        <v>90</v>
      </c>
      <c r="H63" s="2">
        <v>90</v>
      </c>
    </row>
    <row r="64" spans="1:8" x14ac:dyDescent="0.35">
      <c r="A64" s="2" t="s">
        <v>39</v>
      </c>
      <c r="B64" s="2">
        <f t="shared" ref="B64:G64" si="14">B58/$C58</f>
        <v>0</v>
      </c>
      <c r="C64" s="2">
        <f>C58/$C58</f>
        <v>1</v>
      </c>
      <c r="D64" s="2">
        <f t="shared" si="14"/>
        <v>0</v>
      </c>
      <c r="E64" s="2">
        <f t="shared" si="14"/>
        <v>0</v>
      </c>
      <c r="F64" s="2">
        <f t="shared" si="14"/>
        <v>0.33333333333333331</v>
      </c>
      <c r="G64" s="2">
        <f t="shared" si="14"/>
        <v>60</v>
      </c>
    </row>
    <row r="65" spans="1:8" x14ac:dyDescent="0.35">
      <c r="B65" s="2">
        <f>B59-($C$59*B64)</f>
        <v>-300</v>
      </c>
      <c r="C65" s="2">
        <f>C59-($C$59*C64)</f>
        <v>0</v>
      </c>
      <c r="D65" s="2">
        <f>D59-($C$59*D64)</f>
        <v>0</v>
      </c>
      <c r="E65" s="2">
        <f>E59-($C$59*E64)</f>
        <v>0</v>
      </c>
      <c r="F65" s="2">
        <f t="shared" ref="B65:G65" si="15">F59-($C$59*F64)</f>
        <v>166.66666666666666</v>
      </c>
      <c r="G65" s="2">
        <f t="shared" si="15"/>
        <v>30000</v>
      </c>
    </row>
    <row r="67" spans="1:8" x14ac:dyDescent="0.35">
      <c r="B67" s="2" t="s">
        <v>40</v>
      </c>
      <c r="C67" s="2" t="s">
        <v>39</v>
      </c>
      <c r="D67" s="2" t="s">
        <v>41</v>
      </c>
      <c r="E67" s="2" t="s">
        <v>42</v>
      </c>
      <c r="F67" s="2" t="s">
        <v>43</v>
      </c>
      <c r="G67" s="2" t="s">
        <v>14</v>
      </c>
      <c r="H67" s="2" t="s">
        <v>15</v>
      </c>
    </row>
    <row r="68" spans="1:8" x14ac:dyDescent="0.35">
      <c r="A68" s="2" t="s">
        <v>40</v>
      </c>
      <c r="B68" s="2">
        <f>B62/$B62</f>
        <v>1</v>
      </c>
      <c r="C68" s="2">
        <f t="shared" ref="C68:G68" si="16">C62/$B62</f>
        <v>0</v>
      </c>
      <c r="D68" s="2">
        <f t="shared" si="16"/>
        <v>1</v>
      </c>
      <c r="E68" s="2">
        <f t="shared" si="16"/>
        <v>0</v>
      </c>
      <c r="F68" s="2">
        <f t="shared" si="16"/>
        <v>-0.66666666666666663</v>
      </c>
      <c r="G68" s="2">
        <f t="shared" si="16"/>
        <v>50</v>
      </c>
    </row>
    <row r="69" spans="1:8" x14ac:dyDescent="0.35">
      <c r="A69" s="2" t="s">
        <v>42</v>
      </c>
      <c r="B69" s="2">
        <f>B63-($B63*B$68)</f>
        <v>0</v>
      </c>
      <c r="C69" s="2">
        <f>C63-($B63*C$68)</f>
        <v>0</v>
      </c>
      <c r="D69" s="2">
        <f t="shared" ref="D69:G69" si="17">D63-($B63*D$68)</f>
        <v>-1</v>
      </c>
      <c r="E69" s="2">
        <f t="shared" si="17"/>
        <v>1</v>
      </c>
      <c r="F69" s="2">
        <f>F63-($B63*F$68)</f>
        <v>0.33333333333333331</v>
      </c>
      <c r="G69" s="2">
        <f t="shared" si="17"/>
        <v>40</v>
      </c>
    </row>
    <row r="70" spans="1:8" x14ac:dyDescent="0.35">
      <c r="A70" s="2" t="s">
        <v>39</v>
      </c>
      <c r="B70" s="2">
        <f>B64-($B64*B$68)</f>
        <v>0</v>
      </c>
      <c r="C70" s="2">
        <f t="shared" ref="C70:G70" si="18">C64-($B64*C$68)</f>
        <v>1</v>
      </c>
      <c r="D70" s="2">
        <f t="shared" si="18"/>
        <v>0</v>
      </c>
      <c r="E70" s="2">
        <f t="shared" si="18"/>
        <v>0</v>
      </c>
      <c r="F70" s="2">
        <f t="shared" si="18"/>
        <v>0.33333333333333331</v>
      </c>
      <c r="G70" s="2">
        <f t="shared" si="18"/>
        <v>60</v>
      </c>
    </row>
    <row r="71" spans="1:8" x14ac:dyDescent="0.35">
      <c r="B71" s="2">
        <f>B65-($B$65*B68)</f>
        <v>0</v>
      </c>
      <c r="C71" s="2">
        <f t="shared" ref="C71:G71" si="19">C65-($B$65*C68)</f>
        <v>0</v>
      </c>
      <c r="D71" s="2">
        <f t="shared" si="19"/>
        <v>300</v>
      </c>
      <c r="E71" s="2">
        <f>E65-($B$65*E68)</f>
        <v>0</v>
      </c>
      <c r="F71" s="2">
        <f t="shared" si="19"/>
        <v>-33.333333333333343</v>
      </c>
      <c r="G71" s="2">
        <f t="shared" si="19"/>
        <v>45000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D3A6-8D82-44AD-A202-EEABF1447AED}">
  <dimension ref="B1:D1"/>
  <sheetViews>
    <sheetView workbookViewId="0">
      <selection activeCell="E1" sqref="E1"/>
    </sheetView>
  </sheetViews>
  <sheetFormatPr baseColWidth="10" defaultRowHeight="14.5" x14ac:dyDescent="0.35"/>
  <sheetData>
    <row r="1" spans="2:4" x14ac:dyDescent="0.35">
      <c r="B1" t="s">
        <v>18</v>
      </c>
      <c r="C1" t="s">
        <v>19</v>
      </c>
      <c r="D1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Hetzendorfer Nico</dc:creator>
  <cp:lastModifiedBy>Hetzendorfer Nico</cp:lastModifiedBy>
  <dcterms:created xsi:type="dcterms:W3CDTF">2025-11-05T08:12:11Z</dcterms:created>
  <dcterms:modified xsi:type="dcterms:W3CDTF">2025-11-19T12:02:35Z</dcterms:modified>
</cp:coreProperties>
</file>